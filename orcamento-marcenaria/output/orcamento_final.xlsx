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0.000"/>
    <numFmt numFmtId="167" formatCode="$#,##0.00;($#,##0.00);&quot;-&quot;"/>
  </numFmts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sz val="10"/>
    </font>
    <font>
      <name val="Arial"/>
      <b val="1"/>
      <sz val="12"/>
    </font>
    <font>
      <name val="Arial"/>
      <b val="1"/>
      <color rgb="00FFFFFF"/>
    </font>
    <font>
      <name val="Arial"/>
      <b val="1"/>
    </font>
    <font>
      <name val="Arial"/>
      <i val="1"/>
      <color rgb="00C00000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6" fillId="0" borderId="0" pivotButton="0" quotePrefix="0" xfId="0"/>
    <xf numFmtId="167" fontId="0" fillId="0" borderId="0" pivotButton="0" quotePrefix="0" xfId="0"/>
    <xf numFmtId="0" fontId="4" fillId="3" borderId="0" pivotButton="0" quotePrefix="0" xfId="0"/>
    <xf numFmtId="167" fontId="4" fillId="3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Orcamento de Marcenaria</t>
        </is>
      </c>
    </row>
    <row r="2">
      <c r="A2" s="2" t="inlineStr">
        <is>
          <t>Cliente: Paula e Gabriel</t>
        </is>
      </c>
    </row>
    <row r="3">
      <c r="A3" s="2" t="inlineStr">
        <is>
          <t>Projeto: Projeto - Quarto Maria</t>
        </is>
      </c>
    </row>
    <row r="5">
      <c r="A5" s="3" t="inlineStr">
        <is>
          <t>Divisor de Markup</t>
        </is>
      </c>
      <c r="B5" s="4" t="n">
        <v>2.760143527463427</v>
      </c>
    </row>
    <row r="6">
      <c r="A6" s="3" t="inlineStr">
        <is>
          <t>% Comissao de Vendas Aplicada</t>
        </is>
      </c>
      <c r="B6" s="5" t="n">
        <v>0.05</v>
      </c>
    </row>
    <row r="8">
      <c r="A8" s="6" t="inlineStr">
        <is>
          <t>Chapas de MDF</t>
        </is>
      </c>
    </row>
    <row r="9">
      <c r="A9" s="7" t="inlineStr">
        <is>
          <t>Referencia</t>
        </is>
      </c>
      <c r="B9" s="7" t="inlineStr">
        <is>
          <t>Area Total (m2)</t>
        </is>
      </c>
      <c r="C9" s="7" t="inlineStr">
        <is>
          <t>Area c/ Perda (m2)</t>
        </is>
      </c>
      <c r="D9" s="7" t="inlineStr">
        <is>
          <t>Num Chapas</t>
        </is>
      </c>
      <c r="E9" s="7" t="inlineStr">
        <is>
          <t>Preco/Chapa (R$)</t>
        </is>
      </c>
      <c r="F9" s="7" t="inlineStr">
        <is>
          <t>Custo (R$)</t>
        </is>
      </c>
    </row>
    <row r="10">
      <c r="A10" s="8" t="inlineStr">
        <is>
          <t>1.0394.18.Berneck.Unicolors Metallic Suede TX.MDF</t>
        </is>
      </c>
      <c r="B10" s="9" t="n">
        <v>3.92</v>
      </c>
      <c r="C10" s="9" t="n">
        <v>4.508</v>
      </c>
      <c r="D10" s="8" t="n">
        <v>1</v>
      </c>
      <c r="E10" s="10" t="n">
        <v>539.9</v>
      </c>
      <c r="F10" s="10" t="n">
        <v>539.9</v>
      </c>
    </row>
    <row r="11">
      <c r="A11" s="8" t="inlineStr">
        <is>
          <t>2.2018.18.Duratex.Essencial.Rosa Infinito.MDF</t>
        </is>
      </c>
      <c r="B11" s="9" t="n">
        <v>0.15</v>
      </c>
      <c r="C11" s="9" t="n">
        <v>0.1725</v>
      </c>
      <c r="D11" s="8" t="n">
        <v>1</v>
      </c>
      <c r="E11" s="10" t="n">
        <v>519.9</v>
      </c>
      <c r="F11" s="10" t="n">
        <v>519.9</v>
      </c>
    </row>
    <row r="13">
      <c r="A13" s="6" t="inlineStr">
        <is>
          <t>Fita de Borda</t>
        </is>
      </c>
    </row>
    <row r="14">
      <c r="A14" s="7" t="inlineStr">
        <is>
          <t>Referencia</t>
        </is>
      </c>
      <c r="B14" s="7" t="inlineStr">
        <is>
          <t>Metros Total</t>
        </is>
      </c>
      <c r="C14" s="7" t="inlineStr">
        <is>
          <t>Preco/Metro (R$)</t>
        </is>
      </c>
      <c r="D14" s="7" t="inlineStr">
        <is>
          <t>Custo (R$)</t>
        </is>
      </c>
    </row>
    <row r="15">
      <c r="A15" s="8" t="inlineStr">
        <is>
          <t>1.0394.18.Berneck.Unicolors Metallic Suede TX.MDF</t>
        </is>
      </c>
      <c r="B15" s="9" t="n">
        <v>21.68</v>
      </c>
      <c r="C15" s="10" t="n">
        <v>35.9</v>
      </c>
      <c r="D15" s="10" t="n">
        <v>778.312</v>
      </c>
    </row>
    <row r="16">
      <c r="A16" s="8" t="inlineStr">
        <is>
          <t>2.2018.18.Duratex.Essencial.Rosa Infinito.MDF</t>
        </is>
      </c>
      <c r="B16" s="9" t="n">
        <v>4.888</v>
      </c>
      <c r="C16" s="10" t="n">
        <v>32.9</v>
      </c>
      <c r="D16" s="10" t="n">
        <v>160.8152</v>
      </c>
    </row>
    <row r="18">
      <c r="A18" s="6" t="inlineStr">
        <is>
          <t>Ferragens / Componentes</t>
        </is>
      </c>
    </row>
    <row r="19">
      <c r="A19" s="7" t="inlineStr">
        <is>
          <t>Descricao</t>
        </is>
      </c>
      <c r="B19" s="7" t="inlineStr">
        <is>
          <t>Referencia</t>
        </is>
      </c>
      <c r="C19" s="7" t="inlineStr">
        <is>
          <t>Custo (R$)</t>
        </is>
      </c>
    </row>
    <row r="22">
      <c r="A22" s="11" t="inlineStr">
        <is>
          <t>Custo Material Total</t>
        </is>
      </c>
      <c r="B22" s="12">
        <f>SUM(F10:F11)+SUM(D15:D16)+SUM(C20:C19)</f>
        <v/>
      </c>
    </row>
    <row r="23">
      <c r="A23" s="11" t="inlineStr">
        <is>
          <t>Preco Venda Material (x Markup)</t>
        </is>
      </c>
      <c r="B23" s="12">
        <f>B22*$B$5</f>
        <v/>
      </c>
    </row>
    <row r="24">
      <c r="A24" s="11" t="inlineStr">
        <is>
          <t>Mao de Obra</t>
        </is>
      </c>
      <c r="B24" s="12" t="n">
        <v>0</v>
      </c>
    </row>
    <row r="25">
      <c r="A25" s="13" t="inlineStr">
        <is>
          <t>TOTAL GERAL</t>
        </is>
      </c>
      <c r="B25" s="14">
        <f>B23+B24</f>
        <v/>
      </c>
    </row>
    <row r="27">
      <c r="A27" s="15" t="inlineStr">
        <is>
          <t>Pendencias sem preco na tabela (43) -- NAO incluidas no total:</t>
        </is>
      </c>
    </row>
    <row r="28">
      <c r="A28" s="16" t="inlineStr">
        <is>
          <t xml:space="preserve">  SEM_PRECO_CHAPA_NA_TABELA: 2.2035.18.Duratex.Essencial.Rosa Infinito.MDF ((chapa))</t>
        </is>
      </c>
    </row>
    <row r="29">
      <c r="A29" s="16" t="inlineStr">
        <is>
          <t xml:space="preserve">  SEM_PRECO_FITA_NA_TABELA: 2.2035.18.Duratex.Essencial.Rosa Infinito.MDF ((fita de borda))</t>
        </is>
      </c>
    </row>
    <row r="30">
      <c r="A30" s="16" t="inlineStr">
        <is>
          <t xml:space="preserve">  SEM_PRECO_CHAPA_NA_TABELA: 2.2008.18.Branco.MDF ((chapa))</t>
        </is>
      </c>
    </row>
    <row r="31">
      <c r="A31" s="16" t="inlineStr">
        <is>
          <t xml:space="preserve">  SEM_PRECO_FITA_NA_TABELA: 2.2008.18.Branco.MDF ((fita de borda))</t>
        </is>
      </c>
    </row>
    <row r="32">
      <c r="A32" s="16" t="inlineStr">
        <is>
          <t xml:space="preserve">  SEM_PRECO_CHAPA_NA_TABELA: 2.2015.9.Branco.MDF ((chapa))</t>
        </is>
      </c>
    </row>
    <row r="33">
      <c r="A33" s="16" t="inlineStr">
        <is>
          <t xml:space="preserve">  SEM_PRECO_FITA_NA_TABELA: 2.2015.9.Branco.MDF ((fita de borda))</t>
        </is>
      </c>
    </row>
    <row r="34">
      <c r="A34" s="16" t="inlineStr">
        <is>
          <t xml:space="preserve">  SEM_PRECO_CHAPA_NA_TABELA: 2.2033.18.Branco.MDF ((chapa))</t>
        </is>
      </c>
    </row>
    <row r="35">
      <c r="A35" s="16" t="inlineStr">
        <is>
          <t xml:space="preserve">  SEM_PRECO_FITA_NA_TABELA: 2.2033.18.Branco.MDF ((fita de borda))</t>
        </is>
      </c>
    </row>
    <row r="36">
      <c r="A36" s="16" t="inlineStr">
        <is>
          <t xml:space="preserve">  SEM_PRECO_CHAPA_NA_TABELA: 2.0160.18.Branco.MDF ((chapa))</t>
        </is>
      </c>
    </row>
    <row r="37">
      <c r="A37" s="16" t="inlineStr">
        <is>
          <t xml:space="preserve">  SEM_PRECO_FITA_NA_TABELA: 2.0160.18.Branco.MDF ((fita de borda))</t>
        </is>
      </c>
    </row>
    <row r="38">
      <c r="A38" s="16" t="inlineStr">
        <is>
          <t xml:space="preserve">  SEM_PRECO_CHAPA_NA_TABELA: 2.2029.18.Branco.MDF ((chapa))</t>
        </is>
      </c>
    </row>
    <row r="39">
      <c r="A39" s="16" t="inlineStr">
        <is>
          <t xml:space="preserve">  SEM_PRECO_FITA_NA_TABELA: 2.2029.18.Branco.MDF ((fita de borda))</t>
        </is>
      </c>
    </row>
    <row r="40">
      <c r="A40" s="16" t="inlineStr">
        <is>
          <t xml:space="preserve">  SEM_PRECO_CHAPA_NA_TABELA: 2.2008.18.Duratex.Essencial.Rosa Infinito.MDF ((chapa))</t>
        </is>
      </c>
    </row>
    <row r="41">
      <c r="A41" s="16" t="inlineStr">
        <is>
          <t xml:space="preserve">  SEM_PRECO_FITA_NA_TABELA: 2.2008.18.Duratex.Essencial.Rosa Infinito.MDF ((fita de borda))</t>
        </is>
      </c>
    </row>
    <row r="42">
      <c r="A42" s="16" t="inlineStr">
        <is>
          <t xml:space="preserve">  SEM_PRECO_CHAPA_NA_TABELA: 1.0854.18.Duratex.Essencial.Rosa Infinito.MDF ((chapa))</t>
        </is>
      </c>
    </row>
    <row r="43">
      <c r="A43" s="16" t="inlineStr">
        <is>
          <t xml:space="preserve">  SEM_PRECO_FITA_NA_TABELA: 1.0854.18.Duratex.Essencial.Rosa Infinito.MDF ((fita de borda))</t>
        </is>
      </c>
    </row>
    <row r="44">
      <c r="A44" s="16" t="inlineStr">
        <is>
          <t xml:space="preserve">  SEM_PRECO_CHAPA_NA_TABELA: 2.2015.18.Duratex.Essencial.Rosa Infinito.MDF ((chapa))</t>
        </is>
      </c>
    </row>
    <row r="45">
      <c r="A45" s="16" t="inlineStr">
        <is>
          <t xml:space="preserve">  SEM_PRECO_FITA_NA_TABELA: 2.2015.18.Duratex.Essencial.Rosa Infinito.MDF ((fita de borda))</t>
        </is>
      </c>
    </row>
    <row r="46">
      <c r="A46" s="16" t="inlineStr">
        <is>
          <t xml:space="preserve">  SEM_PRECO_CHAPA_NA_TABELA: 2.2033.18.Duratex.Essencial.Rosa Infinito.MDF ((chapa))</t>
        </is>
      </c>
    </row>
    <row r="47">
      <c r="A47" s="16" t="inlineStr">
        <is>
          <t xml:space="preserve">  SEM_PRECO_FITA_NA_TABELA: 2.2033.18.Duratex.Essencial.Rosa Infinito.MDF ((fita de borda))</t>
        </is>
      </c>
    </row>
    <row r="48">
      <c r="A48" s="16" t="inlineStr">
        <is>
          <t xml:space="preserve">  SEM_PRECO_CHAPA_NA_TABELA: 1.0260.18.Branco.MDF ((chapa))</t>
        </is>
      </c>
    </row>
    <row r="49">
      <c r="A49" s="16" t="inlineStr">
        <is>
          <t xml:space="preserve">  SEM_PRECO_FITA_NA_TABELA: 1.0260.18.Branco.MDF ((fita de borda))</t>
        </is>
      </c>
    </row>
    <row r="50">
      <c r="A50" s="16" t="inlineStr">
        <is>
          <t xml:space="preserve">  SEM_PRECO_CHAPA_NA_TABELA: 2.0109.18.Duratex.Essencial.Rosa Infinito.MDF ((chapa))</t>
        </is>
      </c>
    </row>
    <row r="51">
      <c r="A51" s="16" t="inlineStr">
        <is>
          <t xml:space="preserve">  SEM_PRECO_FITA_NA_TABELA: 2.0109.18.Duratex.Essencial.Rosa Infinito.MDF ((fita de borda))</t>
        </is>
      </c>
    </row>
    <row r="52">
      <c r="A52" s="16" t="inlineStr">
        <is>
          <t xml:space="preserve">  SEM_PRECO_NA_TABELA: 2.1029.000 (Suporte)</t>
        </is>
      </c>
    </row>
    <row r="53">
      <c r="A53" s="16" t="inlineStr">
        <is>
          <t xml:space="preserve">  SEM_PRECO_NA_TABELA: 2.1029.000 (Suporte)</t>
        </is>
      </c>
    </row>
    <row r="54">
      <c r="A54" s="16" t="inlineStr">
        <is>
          <t xml:space="preserve">  SEM_PRECO_NA_TABELA: 2.1029.000 (Suporte)</t>
        </is>
      </c>
    </row>
    <row r="55">
      <c r="A55" s="16" t="inlineStr">
        <is>
          <t xml:space="preserve">  SEM_PRECO_NA_TABELA: 2.1029.000 (Suporte)</t>
        </is>
      </c>
    </row>
    <row r="56">
      <c r="A56" s="16" t="inlineStr">
        <is>
          <t xml:space="preserve">  SEM_PRECO_NA_TABELA: 1.1089.450 (Corrediça Telescópica 450)</t>
        </is>
      </c>
    </row>
    <row r="57">
      <c r="A57" s="16" t="inlineStr">
        <is>
          <t xml:space="preserve">  SEM_PRECO_NA_TABELA: 1.1089.500 (Corrediça Telescópica 500)</t>
        </is>
      </c>
    </row>
    <row r="58">
      <c r="A58" s="16" t="inlineStr">
        <is>
          <t xml:space="preserve">  SEM_PRECO_NA_TABELA: 1.1086.000 (Dobradiça Aço s/ Amort. Reta / Baixa)</t>
        </is>
      </c>
    </row>
    <row r="59">
      <c r="A59" s="16" t="inlineStr">
        <is>
          <t xml:space="preserve">  SEM_PRECO_NA_TABELA: 2.0095C.734.Branco (Gaveta Interna c/ Contra Frente)</t>
        </is>
      </c>
    </row>
    <row r="60">
      <c r="A60" s="16" t="inlineStr">
        <is>
          <t xml:space="preserve">  SEM_PRECO_NA_TABELA: 2.0095C.734.Branco (Gaveta Interna c/ Contra Frente)</t>
        </is>
      </c>
    </row>
    <row r="61">
      <c r="A61" s="16" t="inlineStr">
        <is>
          <t xml:space="preserve">  SEM_PRECO_NA_TABELA: 2.0095C.734.Branco (Gaveta Interna c/ Contra Frente)</t>
        </is>
      </c>
    </row>
    <row r="62">
      <c r="A62" s="16" t="inlineStr">
        <is>
          <t xml:space="preserve">  SEM_PRECO_NA_TABELA: 2.0295.720.Branco (Sapateira com contra-frente)</t>
        </is>
      </c>
    </row>
    <row r="63">
      <c r="A63" s="16" t="inlineStr">
        <is>
          <t xml:space="preserve">  SEM_PRECO_NA_TABELA: 2.0295.720.Branco (Sapateira com contra-frente)</t>
        </is>
      </c>
    </row>
    <row r="64">
      <c r="A64" s="16" t="inlineStr">
        <is>
          <t xml:space="preserve">  SEM_PRECO_NA_TABELA: 2.0095C.734.Branco (Gaveta Interna c/ Contra Frente)</t>
        </is>
      </c>
    </row>
    <row r="65">
      <c r="A65" s="16" t="inlineStr">
        <is>
          <t xml:space="preserve">  SEM_PRECO_NA_TABELA: 2.0095C.734.Branco (Gaveta Interna c/ Contra Frente)</t>
        </is>
      </c>
    </row>
    <row r="66">
      <c r="A66" s="16" t="inlineStr">
        <is>
          <t xml:space="preserve">  SEM_PRECO_NA_TABELA: 2.0095C.734.Branco (Gaveta Interna c/ Contra Frente)</t>
        </is>
      </c>
    </row>
    <row r="67">
      <c r="A67" s="16" t="inlineStr">
        <is>
          <t xml:space="preserve">  SEM_PRECO_NA_TABELA: 2.0295.720.Branco (Sapateira com contra-frente)</t>
        </is>
      </c>
    </row>
    <row r="68">
      <c r="A68" s="16" t="inlineStr">
        <is>
          <t xml:space="preserve">  SEM_PRECO_NA_TABELA: 2.0295.720.Branco (Sapateira com contra-frente)</t>
        </is>
      </c>
    </row>
    <row r="69">
      <c r="A69" s="16" t="inlineStr">
        <is>
          <t xml:space="preserve">  SEM_PRECO_NA_TABELA: 2.0135.30.Duratex.Essencial.Rosa Infinito (Fechamento p/ Armário)</t>
        </is>
      </c>
    </row>
    <row r="70">
      <c r="A70" s="16" t="inlineStr">
        <is>
          <t xml:space="preserve">  SEM_PRECO_NA_TABELA: Porta Provençal Configurável (Processo de Fabricação)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2026-08-28T14:24:18Z</dcterms:created>
  <dcterms:modified xsi:type="dcterms:W3CDTF">2026-08-28T14:24:18Z</dcterms:modified>
</cp:coreProperties>
</file>