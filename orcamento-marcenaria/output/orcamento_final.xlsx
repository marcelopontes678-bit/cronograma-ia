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c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%"/>
    <numFmt numFmtId="166" formatCode="$#,##0.00;($#,##0.00);&quot;-&quot;"/>
  </numFmts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0" fontId="5" fillId="3" borderId="0" pivotButton="0" quotePrefix="0" xfId="0"/>
    <xf numFmtId="166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20" customWidth="1" min="4" max="4"/>
    <col width="16" customWidth="1" min="5" max="5"/>
    <col width="16" customWidth="1" min="6" max="6"/>
  </cols>
  <sheetData>
    <row r="1">
      <c r="A1" s="1" t="inlineStr">
        <is>
          <t>Orcamento de Marcenaria</t>
        </is>
      </c>
    </row>
    <row r="2">
      <c r="A2" s="2" t="inlineStr">
        <is>
          <t>Cliente: Paula e Gabriel</t>
        </is>
      </c>
    </row>
    <row r="3">
      <c r="A3" s="2" t="inlineStr">
        <is>
          <t>Projeto: Projeto - Quarto Maria</t>
        </is>
      </c>
    </row>
    <row r="5">
      <c r="A5" s="3" t="inlineStr">
        <is>
          <t>Divisor de Markup</t>
        </is>
      </c>
      <c r="B5" s="4" t="n">
        <v>2.760143527463427</v>
      </c>
    </row>
    <row r="6">
      <c r="A6" s="3" t="inlineStr">
        <is>
          <t>% Comissao de Vendas Aplicada</t>
        </is>
      </c>
      <c r="B6" s="5" t="n">
        <v>0.05</v>
      </c>
    </row>
    <row r="7">
      <c r="A7" s="3" t="inlineStr">
        <is>
          <t>Faturamento Acumulado Informado (R$)</t>
        </is>
      </c>
      <c r="B7" s="6" t="n">
        <v>100000</v>
      </c>
    </row>
    <row r="9">
      <c r="A9" s="7" t="inlineStr">
        <is>
          <t>Ambiente / Modulo</t>
        </is>
      </c>
      <c r="B9" s="7" t="inlineStr">
        <is>
          <t>Custo Material (R$)</t>
        </is>
      </c>
      <c r="C9" s="7" t="inlineStr">
        <is>
          <t>Divisor Markup</t>
        </is>
      </c>
      <c r="D9" s="7" t="inlineStr">
        <is>
          <t>Preco Venda Material (R$)</t>
        </is>
      </c>
      <c r="E9" s="7" t="inlineStr">
        <is>
          <t>Mao de Obra (R$)</t>
        </is>
      </c>
      <c r="F9" s="7" t="inlineStr">
        <is>
          <t>Preco Final (R$)</t>
        </is>
      </c>
    </row>
    <row r="10">
      <c r="A10" s="8" t="inlineStr">
        <is>
          <t>Projeto - Quarto Maria - Armário</t>
        </is>
      </c>
      <c r="B10" s="9" t="n">
        <v>1050.364</v>
      </c>
      <c r="C10" s="10">
        <f>$B$5</f>
        <v/>
      </c>
      <c r="D10" s="9">
        <f>B10*C10</f>
        <v/>
      </c>
      <c r="E10" s="9" t="n">
        <v>0</v>
      </c>
      <c r="F10" s="9">
        <f>D10+E10</f>
        <v/>
      </c>
    </row>
    <row r="11">
      <c r="A11" s="8" t="inlineStr">
        <is>
          <t>Projeto - Quarto Maria - Armário</t>
        </is>
      </c>
      <c r="B11" s="9" t="n">
        <v>1050.364</v>
      </c>
      <c r="C11" s="10">
        <f>$B$5</f>
        <v/>
      </c>
      <c r="D11" s="9">
        <f>B11*C11</f>
        <v/>
      </c>
      <c r="E11" s="9" t="n">
        <v>0</v>
      </c>
      <c r="F11" s="9">
        <f>D11+E11</f>
        <v/>
      </c>
    </row>
    <row r="12">
      <c r="A12" s="8" t="inlineStr">
        <is>
          <t>Projeto - Quarto Maria - Fechamento Lateral Dir</t>
        </is>
      </c>
      <c r="B12" s="9" t="n">
        <v>5.919</v>
      </c>
      <c r="C12" s="10">
        <f>$B$5</f>
        <v/>
      </c>
      <c r="D12" s="9">
        <f>B12*C12</f>
        <v/>
      </c>
      <c r="E12" s="9" t="n">
        <v>0</v>
      </c>
      <c r="F12" s="9">
        <f>D12+E12</f>
        <v/>
      </c>
    </row>
    <row r="13">
      <c r="A13" s="8" t="inlineStr">
        <is>
          <t>Projeto - Quarto Maria - Fechamento Lateral Esq</t>
        </is>
      </c>
      <c r="B13" s="9" t="n">
        <v>5.919</v>
      </c>
      <c r="C13" s="10">
        <f>$B$5</f>
        <v/>
      </c>
      <c r="D13" s="9">
        <f>B13*C13</f>
        <v/>
      </c>
      <c r="E13" s="9" t="n">
        <v>0</v>
      </c>
      <c r="F13" s="9">
        <f>D13+E13</f>
        <v/>
      </c>
    </row>
    <row r="14">
      <c r="A14" s="8" t="inlineStr">
        <is>
          <t>Projeto - Quarto Maria - Rodapé Lateral</t>
        </is>
      </c>
      <c r="B14" s="9" t="n">
        <v>76.947</v>
      </c>
      <c r="C14" s="10">
        <f>$B$5</f>
        <v/>
      </c>
      <c r="D14" s="9">
        <f>B14*C14</f>
        <v/>
      </c>
      <c r="E14" s="9" t="n">
        <v>0</v>
      </c>
      <c r="F14" s="9">
        <f>D14+E14</f>
        <v/>
      </c>
    </row>
    <row r="15">
      <c r="A15" s="11" t="inlineStr">
        <is>
          <t>TOTAL GERAL</t>
        </is>
      </c>
      <c r="B15" s="12">
        <f>SUM(B10:B14)</f>
        <v/>
      </c>
      <c r="C15" s="12">
        <f>SUM(C10:C14)</f>
        <v/>
      </c>
      <c r="D15" s="12">
        <f>SUM(D10:D14)</f>
        <v/>
      </c>
      <c r="E15" s="12">
        <f>SUM(E10:E14)</f>
        <v/>
      </c>
      <c r="F15" s="12">
        <f>SUM(F10:F14)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2026-08-28T13:19:26Z</dcterms:created>
  <dcterms:modified xsi:type="dcterms:W3CDTF">2026-08-28T13:19:26Z</dcterms:modified>
</cp:coreProperties>
</file>