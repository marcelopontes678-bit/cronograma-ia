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c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%"/>
    <numFmt numFmtId="166" formatCode="0.000"/>
    <numFmt numFmtId="167" formatCode="$#,##0.00;($#,##0.00);&quot;-&quot;"/>
  </numFmts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0"/>
    </font>
    <font>
      <name val="Arial"/>
      <b val="1"/>
      <sz val="12"/>
    </font>
    <font>
      <name val="Arial"/>
      <b val="1"/>
      <color rgb="00FFFF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6" fillId="0" borderId="0" pivotButton="0" quotePrefix="0" xfId="0"/>
    <xf numFmtId="167" fontId="0" fillId="0" borderId="0" pivotButton="0" quotePrefix="0" xfId="0"/>
    <xf numFmtId="0" fontId="4" fillId="3" borderId="0" pivotButton="0" quotePrefix="0" xfId="0"/>
    <xf numFmtId="167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4" customWidth="1" min="4" max="4"/>
    <col width="16" customWidth="1" min="5" max="5"/>
    <col width="14" customWidth="1" min="6" max="6"/>
  </cols>
  <sheetData>
    <row r="1">
      <c r="A1" s="1" t="inlineStr">
        <is>
          <t>Orcamento de Marcenaria</t>
        </is>
      </c>
    </row>
    <row r="2">
      <c r="A2" s="2" t="inlineStr">
        <is>
          <t>Cliente: Paula e Gabriel</t>
        </is>
      </c>
    </row>
    <row r="3">
      <c r="A3" s="2" t="inlineStr">
        <is>
          <t>Projeto: Projeto - Quarto Maria</t>
        </is>
      </c>
    </row>
    <row r="5">
      <c r="A5" s="3" t="inlineStr">
        <is>
          <t>Divisor de Markup</t>
        </is>
      </c>
      <c r="B5" s="4" t="n">
        <v>2.760143527463427</v>
      </c>
    </row>
    <row r="6">
      <c r="A6" s="3" t="inlineStr">
        <is>
          <t>% Comissao de Vendas Aplicada</t>
        </is>
      </c>
      <c r="B6" s="5" t="n">
        <v>0.05</v>
      </c>
    </row>
    <row r="8">
      <c r="A8" s="6" t="inlineStr">
        <is>
          <t>Chapas de MDF</t>
        </is>
      </c>
    </row>
    <row r="9">
      <c r="A9" s="7" t="inlineStr">
        <is>
          <t>Acabamento</t>
        </is>
      </c>
      <c r="B9" s="7" t="inlineStr">
        <is>
          <t>Area Total (m2)</t>
        </is>
      </c>
      <c r="C9" s="7" t="inlineStr">
        <is>
          <t>Area c/ Perda (m2)</t>
        </is>
      </c>
      <c r="D9" s="7" t="inlineStr">
        <is>
          <t>Num Chapas</t>
        </is>
      </c>
      <c r="E9" s="7" t="inlineStr">
        <is>
          <t>Preco/Chapa (R$)</t>
        </is>
      </c>
      <c r="F9" s="7" t="inlineStr">
        <is>
          <t>Custo (R$)</t>
        </is>
      </c>
    </row>
    <row r="10">
      <c r="A10" s="8" t="inlineStr">
        <is>
          <t>18mm Duratex.Essencial.Rosa Infinito</t>
        </is>
      </c>
      <c r="B10" s="9" t="n">
        <v>3.96</v>
      </c>
      <c r="C10" s="9" t="n">
        <v>4.553999999999999</v>
      </c>
      <c r="D10" s="8" t="n">
        <v>1</v>
      </c>
      <c r="E10" s="10" t="n">
        <v>591.9</v>
      </c>
      <c r="F10" s="10" t="n">
        <v>591.9</v>
      </c>
    </row>
    <row r="11">
      <c r="A11" s="8" t="inlineStr">
        <is>
          <t>18mm Branco</t>
        </is>
      </c>
      <c r="B11" s="9" t="n">
        <v>10.02</v>
      </c>
      <c r="C11" s="9" t="n">
        <v>11.523</v>
      </c>
      <c r="D11" s="8" t="n">
        <v>3</v>
      </c>
      <c r="E11" s="10" t="n">
        <v>334.9</v>
      </c>
      <c r="F11" s="10" t="n">
        <v>1004.7</v>
      </c>
    </row>
    <row r="12">
      <c r="A12" s="8" t="inlineStr">
        <is>
          <t>9mm Branco</t>
        </is>
      </c>
      <c r="B12" s="9" t="n">
        <v>3.96</v>
      </c>
      <c r="C12" s="9" t="n">
        <v>4.553999999999999</v>
      </c>
      <c r="D12" s="8" t="n">
        <v>1</v>
      </c>
      <c r="E12" s="10" t="n">
        <v>253.9</v>
      </c>
      <c r="F12" s="10" t="n">
        <v>253.9</v>
      </c>
    </row>
    <row r="13">
      <c r="A13" s="8" t="inlineStr">
        <is>
          <t>18mm Berneck.Unicolors Metallic Suede TX</t>
        </is>
      </c>
      <c r="B13" s="9" t="n">
        <v>3.92</v>
      </c>
      <c r="C13" s="9" t="n">
        <v>4.508</v>
      </c>
      <c r="D13" s="8" t="n">
        <v>1</v>
      </c>
      <c r="E13" s="10" t="n">
        <v>539.9</v>
      </c>
      <c r="F13" s="10" t="n">
        <v>539.9</v>
      </c>
    </row>
    <row r="15">
      <c r="A15" s="6" t="inlineStr">
        <is>
          <t>Fita de Borda</t>
        </is>
      </c>
    </row>
    <row r="16">
      <c r="A16" s="7" t="inlineStr">
        <is>
          <t>Acabamento</t>
        </is>
      </c>
      <c r="B16" s="7" t="inlineStr">
        <is>
          <t>Metros Total</t>
        </is>
      </c>
      <c r="C16" s="7" t="inlineStr">
        <is>
          <t>Preco/Metro (R$)</t>
        </is>
      </c>
      <c r="D16" s="7" t="inlineStr">
        <is>
          <t>Custo (R$)</t>
        </is>
      </c>
    </row>
    <row r="17">
      <c r="A17" s="8" t="inlineStr">
        <is>
          <t>18mm Duratex.Essencial.Rosa Infinito</t>
        </is>
      </c>
      <c r="B17" s="9" t="n">
        <v>49.6164</v>
      </c>
      <c r="C17" s="10" t="n">
        <v>32.9</v>
      </c>
      <c r="D17" s="10" t="n">
        <v>1632.37956</v>
      </c>
    </row>
    <row r="18">
      <c r="A18" s="8" t="inlineStr">
        <is>
          <t>18mm Branco</t>
        </is>
      </c>
      <c r="B18" s="9" t="n">
        <v>74.248</v>
      </c>
      <c r="C18" s="10" t="n">
        <v>26.9</v>
      </c>
      <c r="D18" s="10" t="n">
        <v>1997.2712</v>
      </c>
    </row>
    <row r="19">
      <c r="A19" s="8" t="inlineStr">
        <is>
          <t>9mm Branco</t>
        </is>
      </c>
      <c r="B19" s="9" t="n">
        <v>12.604</v>
      </c>
      <c r="C19" s="10" t="n">
        <v>79.90000000000001</v>
      </c>
      <c r="D19" s="10" t="n">
        <v>1007.0596</v>
      </c>
    </row>
    <row r="20">
      <c r="A20" s="8" t="inlineStr">
        <is>
          <t>18mm Berneck.Unicolors Metallic Suede TX</t>
        </is>
      </c>
      <c r="B20" s="9" t="n">
        <v>21.68</v>
      </c>
      <c r="C20" s="10" t="n">
        <v>35.9</v>
      </c>
      <c r="D20" s="10" t="n">
        <v>778.312</v>
      </c>
    </row>
    <row r="22">
      <c r="A22" s="6" t="inlineStr">
        <is>
          <t>Ferragens / Componentes</t>
        </is>
      </c>
    </row>
    <row r="23">
      <c r="A23" s="7" t="inlineStr">
        <is>
          <t>Descricao</t>
        </is>
      </c>
      <c r="B23" s="7" t="inlineStr">
        <is>
          <t>Referencia</t>
        </is>
      </c>
      <c r="C23" s="7" t="inlineStr">
        <is>
          <t>Custo (R$)</t>
        </is>
      </c>
    </row>
    <row r="24">
      <c r="A24" s="8" t="inlineStr">
        <is>
          <t>Suporte</t>
        </is>
      </c>
      <c r="B24" s="8" t="inlineStr">
        <is>
          <t>2.1029.000</t>
        </is>
      </c>
      <c r="C24" s="10" t="n">
        <v>19.8</v>
      </c>
    </row>
    <row r="25">
      <c r="A25" s="8" t="inlineStr">
        <is>
          <t>Suporte</t>
        </is>
      </c>
      <c r="B25" s="8" t="inlineStr">
        <is>
          <t>2.1029.000</t>
        </is>
      </c>
      <c r="C25" s="10" t="n">
        <v>19.8</v>
      </c>
    </row>
    <row r="26">
      <c r="A26" s="8" t="inlineStr">
        <is>
          <t>Suporte</t>
        </is>
      </c>
      <c r="B26" s="8" t="inlineStr">
        <is>
          <t>2.1029.000</t>
        </is>
      </c>
      <c r="C26" s="10" t="n">
        <v>19.8</v>
      </c>
    </row>
    <row r="27">
      <c r="A27" s="8" t="inlineStr">
        <is>
          <t>Suporte</t>
        </is>
      </c>
      <c r="B27" s="8" t="inlineStr">
        <is>
          <t>2.1029.000</t>
        </is>
      </c>
      <c r="C27" s="10" t="n">
        <v>19.8</v>
      </c>
    </row>
    <row r="28">
      <c r="A28" s="8" t="inlineStr">
        <is>
          <t>Corrediça Telescópica 450</t>
        </is>
      </c>
      <c r="B28" s="8" t="inlineStr">
        <is>
          <t>1.1089.450</t>
        </is>
      </c>
      <c r="C28" s="10" t="n">
        <v>280</v>
      </c>
    </row>
    <row r="29">
      <c r="A29" s="8" t="inlineStr">
        <is>
          <t>Corrediça Telescópica 500</t>
        </is>
      </c>
      <c r="B29" s="8" t="inlineStr">
        <is>
          <t>1.1089.500</t>
        </is>
      </c>
      <c r="C29" s="10" t="n">
        <v>459</v>
      </c>
    </row>
    <row r="30">
      <c r="A30" s="8" t="inlineStr">
        <is>
          <t>Dobradiça Aço s/ Amort. Reta / Baixa</t>
        </is>
      </c>
      <c r="B30" s="8" t="inlineStr">
        <is>
          <t>1.1086.000</t>
        </is>
      </c>
      <c r="C30" s="10" t="n">
        <v>70</v>
      </c>
    </row>
    <row r="31">
      <c r="A31" s="8" t="inlineStr">
        <is>
          <t>Gaveta Interna c/ Contra Frente</t>
        </is>
      </c>
      <c r="B31" s="8" t="inlineStr">
        <is>
          <t>2.0095C.734.Branco</t>
        </is>
      </c>
      <c r="C31" s="10" t="n">
        <v>0</v>
      </c>
    </row>
    <row r="32">
      <c r="A32" s="8" t="inlineStr">
        <is>
          <t>Gaveta Interna c/ Contra Frente</t>
        </is>
      </c>
      <c r="B32" s="8" t="inlineStr">
        <is>
          <t>2.0095C.734.Branco</t>
        </is>
      </c>
      <c r="C32" s="10" t="n">
        <v>0</v>
      </c>
    </row>
    <row r="33">
      <c r="A33" s="8" t="inlineStr">
        <is>
          <t>Gaveta Interna c/ Contra Frente</t>
        </is>
      </c>
      <c r="B33" s="8" t="inlineStr">
        <is>
          <t>2.0095C.734.Branco</t>
        </is>
      </c>
      <c r="C33" s="10" t="n">
        <v>0</v>
      </c>
    </row>
    <row r="34">
      <c r="A34" s="8" t="inlineStr">
        <is>
          <t>Sapateira com contra-frente</t>
        </is>
      </c>
      <c r="B34" s="8" t="inlineStr">
        <is>
          <t>2.0295.720.Branco</t>
        </is>
      </c>
      <c r="C34" s="10" t="n">
        <v>0</v>
      </c>
    </row>
    <row r="35">
      <c r="A35" s="8" t="inlineStr">
        <is>
          <t>Sapateira com contra-frente</t>
        </is>
      </c>
      <c r="B35" s="8" t="inlineStr">
        <is>
          <t>2.0295.720.Branco</t>
        </is>
      </c>
      <c r="C35" s="10" t="n">
        <v>0</v>
      </c>
    </row>
    <row r="36">
      <c r="A36" s="8" t="inlineStr">
        <is>
          <t>Gaveta Interna c/ Contra Frente</t>
        </is>
      </c>
      <c r="B36" s="8" t="inlineStr">
        <is>
          <t>2.0095C.734.Branco</t>
        </is>
      </c>
      <c r="C36" s="10" t="n">
        <v>0</v>
      </c>
    </row>
    <row r="37">
      <c r="A37" s="8" t="inlineStr">
        <is>
          <t>Gaveta Interna c/ Contra Frente</t>
        </is>
      </c>
      <c r="B37" s="8" t="inlineStr">
        <is>
          <t>2.0095C.734.Branco</t>
        </is>
      </c>
      <c r="C37" s="10" t="n">
        <v>0</v>
      </c>
    </row>
    <row r="38">
      <c r="A38" s="8" t="inlineStr">
        <is>
          <t>Gaveta Interna c/ Contra Frente</t>
        </is>
      </c>
      <c r="B38" s="8" t="inlineStr">
        <is>
          <t>2.0095C.734.Branco</t>
        </is>
      </c>
      <c r="C38" s="10" t="n">
        <v>0</v>
      </c>
    </row>
    <row r="39">
      <c r="A39" s="8" t="inlineStr">
        <is>
          <t>Sapateira com contra-frente</t>
        </is>
      </c>
      <c r="B39" s="8" t="inlineStr">
        <is>
          <t>2.0295.720.Branco</t>
        </is>
      </c>
      <c r="C39" s="10" t="n">
        <v>0</v>
      </c>
    </row>
    <row r="40">
      <c r="A40" s="8" t="inlineStr">
        <is>
          <t>Sapateira com contra-frente</t>
        </is>
      </c>
      <c r="B40" s="8" t="inlineStr">
        <is>
          <t>2.0295.720.Branco</t>
        </is>
      </c>
      <c r="C40" s="10" t="n">
        <v>0</v>
      </c>
    </row>
    <row r="41">
      <c r="A41" s="8" t="inlineStr">
        <is>
          <t>Fechamento p/ Armário</t>
        </is>
      </c>
      <c r="B41" s="8" t="inlineStr">
        <is>
          <t>2.0135.30.Duratex.Essencial.Rosa Infinito</t>
        </is>
      </c>
      <c r="C41" s="10" t="n">
        <v>0</v>
      </c>
    </row>
    <row r="42">
      <c r="A42" s="8" t="inlineStr">
        <is>
          <t>Processo de Fabricação</t>
        </is>
      </c>
      <c r="B42" s="8" t="inlineStr">
        <is>
          <t>Porta Provençal Configurável</t>
        </is>
      </c>
      <c r="C42" s="10" t="n">
        <v>1462.04</v>
      </c>
    </row>
    <row r="45">
      <c r="A45" s="11" t="inlineStr">
        <is>
          <t>Custo Material Total</t>
        </is>
      </c>
      <c r="B45" s="12">
        <f>SUM(F10:F13)+SUM(D17:D20)+SUM(C24:C42)</f>
        <v/>
      </c>
    </row>
    <row r="46">
      <c r="A46" s="11" t="inlineStr">
        <is>
          <t>Preco Venda Material (x Markup)</t>
        </is>
      </c>
      <c r="B46" s="12">
        <f>B45*$B$5</f>
        <v/>
      </c>
    </row>
    <row r="47">
      <c r="A47" s="11" t="inlineStr">
        <is>
          <t>Mao de Obra</t>
        </is>
      </c>
      <c r="B47" s="12" t="n">
        <v>0</v>
      </c>
    </row>
    <row r="48">
      <c r="A48" s="13" t="inlineStr">
        <is>
          <t>TOTAL GERAL</t>
        </is>
      </c>
      <c r="B48" s="14">
        <f>B46+B47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2026-08-28T14:50:02Z</dcterms:created>
  <dcterms:modified xsi:type="dcterms:W3CDTF">2026-08-28T14:50:02Z</dcterms:modified>
</cp:coreProperties>
</file>