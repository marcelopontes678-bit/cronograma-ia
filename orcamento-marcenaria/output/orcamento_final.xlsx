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rcament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000"/>
    <numFmt numFmtId="165" formatCode="0.0%"/>
    <numFmt numFmtId="166" formatCode="$#,##0.00;($#,##0.00);&quot;-&quot;"/>
    <numFmt numFmtId="167" formatCode="0.0"/>
    <numFmt numFmtId="168" formatCode="0.000"/>
  </numFmts>
  <fonts count="10">
    <font>
      <name val="Calibri"/>
      <family val="2"/>
      <color theme="1"/>
      <sz val="11"/>
      <scheme val="minor"/>
    </font>
    <font>
      <name val="Arial"/>
      <b val="1"/>
      <sz val="16"/>
    </font>
    <font>
      <name val="Arial"/>
      <sz val="11"/>
    </font>
    <font>
      <name val="Arial"/>
      <i val="1"/>
      <color rgb="00666666"/>
      <sz val="8"/>
    </font>
    <font>
      <name val="Arial"/>
      <b val="1"/>
      <sz val="10"/>
    </font>
    <font>
      <name val="Arial"/>
      <color rgb="000000FF"/>
    </font>
    <font>
      <name val="Arial"/>
      <b val="1"/>
      <sz val="12"/>
    </font>
    <font>
      <name val="Arial"/>
      <b val="1"/>
      <color rgb="00FFFFFF"/>
    </font>
    <font>
      <name val="Arial"/>
      <b val="1"/>
    </font>
    <font>
      <name val="Arial"/>
      <i val="1"/>
      <color rgb="000000FF"/>
      <sz val="9"/>
    </font>
  </fonts>
  <fills count="4">
    <fill>
      <patternFill/>
    </fill>
    <fill>
      <patternFill patternType="gray125"/>
    </fill>
    <fill>
      <patternFill patternType="solid">
        <fgColor rgb="00305496"/>
        <bgColor rgb="00305496"/>
      </patternFill>
    </fill>
    <fill>
      <patternFill patternType="solid">
        <fgColor rgb="00D9E1F2"/>
        <bgColor rgb="00D9E1F2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0" fontId="5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66" fontId="5" fillId="0" borderId="0" pivotButton="0" quotePrefix="0" xfId="0"/>
    <xf numFmtId="167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/>
    </xf>
    <xf numFmtId="0" fontId="0" fillId="0" borderId="1" pivotButton="0" quotePrefix="0" xfId="0"/>
    <xf numFmtId="168" fontId="0" fillId="0" borderId="1" pivotButton="0" quotePrefix="0" xfId="0"/>
    <xf numFmtId="166" fontId="5" fillId="0" borderId="1" pivotButton="0" quotePrefix="0" xfId="0"/>
    <xf numFmtId="166" fontId="0" fillId="0" borderId="1" pivotButton="0" quotePrefix="0" xfId="0"/>
    <xf numFmtId="0" fontId="8" fillId="0" borderId="0" pivotButton="0" quotePrefix="0" xfId="0"/>
    <xf numFmtId="166" fontId="0" fillId="0" borderId="0" pivotButton="0" quotePrefix="0" xfId="0"/>
    <xf numFmtId="0" fontId="6" fillId="3" borderId="0" pivotButton="0" quotePrefix="0" xfId="0"/>
    <xf numFmtId="166" fontId="6" fillId="3" borderId="0" pivotButton="0" quotePrefix="0" xfId="0"/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8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18" customWidth="1" min="3" max="3"/>
    <col width="14" customWidth="1" min="4" max="4"/>
    <col width="18" customWidth="1" min="5" max="5"/>
    <col width="14" customWidth="1" min="6" max="6"/>
  </cols>
  <sheetData>
    <row r="1">
      <c r="A1" s="1" t="inlineStr">
        <is>
          <t>Orcamento de Marcenaria</t>
        </is>
      </c>
    </row>
    <row r="2">
      <c r="A2" s="2" t="inlineStr">
        <is>
          <t>Cliente: Paula e Gabriel</t>
        </is>
      </c>
    </row>
    <row r="3">
      <c r="A3" s="2" t="inlineStr">
        <is>
          <t>Projeto: Projeto - Quarto Maria</t>
        </is>
      </c>
    </row>
    <row r="5">
      <c r="A5" s="3" t="inlineStr">
        <is>
          <t>Composicao do markup (referencia -- nao alimenta o Divisor abaixo):</t>
        </is>
      </c>
    </row>
    <row r="6">
      <c r="A6" s="4" t="inlineStr">
        <is>
          <t>% Custo Fixo</t>
        </is>
      </c>
      <c r="B6" s="5" t="n">
        <v>0.3377</v>
      </c>
    </row>
    <row r="7">
      <c r="A7" s="4" t="inlineStr">
        <is>
          <t>% Impostos</t>
        </is>
      </c>
      <c r="B7" s="5" t="n">
        <v>0.09</v>
      </c>
    </row>
    <row r="8">
      <c r="A8" s="4" t="inlineStr">
        <is>
          <t>% Comissao Fabrica</t>
        </is>
      </c>
      <c r="B8" s="5" t="n">
        <v>0.01</v>
      </c>
    </row>
    <row r="9">
      <c r="A9" s="4" t="inlineStr">
        <is>
          <t>% Comissao Vendas (faixa aplicada)</t>
        </is>
      </c>
      <c r="B9" s="5" t="n">
        <v>0.05</v>
      </c>
    </row>
    <row r="10">
      <c r="A10" s="4" t="inlineStr">
        <is>
          <t>% Lucro</t>
        </is>
      </c>
      <c r="B10" s="5" t="n">
        <v>0.15</v>
      </c>
    </row>
    <row r="11">
      <c r="A11" s="4" t="inlineStr">
        <is>
          <t>Divisor de Markup (fixo, editavel)</t>
        </is>
      </c>
      <c r="B11" s="6" t="n">
        <v>2.760143527463427</v>
      </c>
      <c r="C11" s="3" t="inlineStr">
        <is>
          <t>(nao muda automaticamente com os % acima ou com os precos -- edite direto aqui)</t>
        </is>
      </c>
    </row>
    <row r="12">
      <c r="A12" s="4" t="inlineStr">
        <is>
          <t>% Perda de Corte</t>
        </is>
      </c>
      <c r="B12" s="7" t="n">
        <v>0.15</v>
      </c>
    </row>
    <row r="13">
      <c r="A13" s="4" t="inlineStr">
        <is>
          <t>Area Util da Chapa (m2)</t>
        </is>
      </c>
      <c r="B13" s="6" t="n">
        <v>5.032500000000001</v>
      </c>
    </row>
    <row r="14">
      <c r="A14" s="4" t="inlineStr">
        <is>
          <t>Custo Hora Mao de Obra (R$)</t>
        </is>
      </c>
      <c r="B14" s="8" t="n">
        <v>32.25</v>
      </c>
    </row>
    <row r="15">
      <c r="A15" s="4" t="inlineStr">
        <is>
          <t>Horas Estimadas</t>
        </is>
      </c>
      <c r="B15" s="9" t="n">
        <v>25</v>
      </c>
    </row>
    <row r="17">
      <c r="A17" s="10" t="inlineStr">
        <is>
          <t>Chapas de MDF</t>
        </is>
      </c>
    </row>
    <row r="18">
      <c r="A18" s="11" t="inlineStr">
        <is>
          <t>Acabamento</t>
        </is>
      </c>
      <c r="B18" s="11" t="inlineStr">
        <is>
          <t>Area Total (m2)</t>
        </is>
      </c>
      <c r="C18" s="11" t="inlineStr">
        <is>
          <t>Area c/ Perda (m2)</t>
        </is>
      </c>
      <c r="D18" s="11" t="inlineStr">
        <is>
          <t>Num Chapas</t>
        </is>
      </c>
      <c r="E18" s="11" t="inlineStr">
        <is>
          <t>Preco/Chapa (R$)</t>
        </is>
      </c>
      <c r="F18" s="11" t="inlineStr">
        <is>
          <t>Custo (R$)</t>
        </is>
      </c>
    </row>
    <row r="19">
      <c r="A19" s="12" t="inlineStr">
        <is>
          <t>18mm Duratex.Essencial.Rosa Infinito</t>
        </is>
      </c>
      <c r="B19" s="13" t="n">
        <v>3.96</v>
      </c>
      <c r="C19" s="13">
        <f>B19*(1+$B$12)</f>
        <v/>
      </c>
      <c r="D19" s="12">
        <f>ROUNDUP(C19/$B$13,0)</f>
        <v/>
      </c>
      <c r="E19" s="14" t="n">
        <v>591.9</v>
      </c>
      <c r="F19" s="15">
        <f>D19*E19</f>
        <v/>
      </c>
    </row>
    <row r="20">
      <c r="A20" s="12" t="inlineStr">
        <is>
          <t>18mm Branco</t>
        </is>
      </c>
      <c r="B20" s="13" t="n">
        <v>10.02</v>
      </c>
      <c r="C20" s="13">
        <f>B20*(1+$B$12)</f>
        <v/>
      </c>
      <c r="D20" s="12">
        <f>ROUNDUP(C20/$B$13,0)</f>
        <v/>
      </c>
      <c r="E20" s="14" t="n">
        <v>334.9</v>
      </c>
      <c r="F20" s="15">
        <f>D20*E20</f>
        <v/>
      </c>
    </row>
    <row r="21">
      <c r="A21" s="12" t="inlineStr">
        <is>
          <t>9mm Branco</t>
        </is>
      </c>
      <c r="B21" s="13" t="n">
        <v>3.96</v>
      </c>
      <c r="C21" s="13">
        <f>B21*(1+$B$12)</f>
        <v/>
      </c>
      <c r="D21" s="12">
        <f>ROUNDUP(C21/$B$13,0)</f>
        <v/>
      </c>
      <c r="E21" s="14" t="n">
        <v>253.9</v>
      </c>
      <c r="F21" s="15">
        <f>D21*E21</f>
        <v/>
      </c>
    </row>
    <row r="22">
      <c r="A22" s="12" t="inlineStr">
        <is>
          <t>18mm Berneck.Unicolors Metallic Suede TX</t>
        </is>
      </c>
      <c r="B22" s="13" t="n">
        <v>3.92</v>
      </c>
      <c r="C22" s="13">
        <f>B22*(1+$B$12)</f>
        <v/>
      </c>
      <c r="D22" s="12">
        <f>ROUNDUP(C22/$B$13,0)</f>
        <v/>
      </c>
      <c r="E22" s="14" t="n">
        <v>539.9</v>
      </c>
      <c r="F22" s="15">
        <f>D22*E22</f>
        <v/>
      </c>
    </row>
    <row r="24">
      <c r="A24" s="10" t="inlineStr">
        <is>
          <t>Fita de Borda</t>
        </is>
      </c>
    </row>
    <row r="25">
      <c r="A25" s="11" t="inlineStr">
        <is>
          <t>Acabamento</t>
        </is>
      </c>
      <c r="B25" s="11" t="inlineStr">
        <is>
          <t>Metros Total</t>
        </is>
      </c>
      <c r="C25" s="11" t="inlineStr">
        <is>
          <t>Preco/Metro (R$)</t>
        </is>
      </c>
      <c r="D25" s="11" t="inlineStr">
        <is>
          <t>Custo (R$)</t>
        </is>
      </c>
    </row>
    <row r="26">
      <c r="A26" s="12" t="inlineStr">
        <is>
          <t>18mm Duratex.Essencial.Rosa Infinito</t>
        </is>
      </c>
      <c r="B26" s="13" t="n">
        <v>49.6164</v>
      </c>
      <c r="C26" s="14" t="n">
        <v>32.9</v>
      </c>
      <c r="D26" s="15">
        <f>B26*C26</f>
        <v/>
      </c>
    </row>
    <row r="27">
      <c r="A27" s="12" t="inlineStr">
        <is>
          <t>18mm Branco</t>
        </is>
      </c>
      <c r="B27" s="13" t="n">
        <v>74.248</v>
      </c>
      <c r="C27" s="14" t="n">
        <v>26.9</v>
      </c>
      <c r="D27" s="15">
        <f>B27*C27</f>
        <v/>
      </c>
    </row>
    <row r="28">
      <c r="A28" s="12" t="inlineStr">
        <is>
          <t>9mm Branco</t>
        </is>
      </c>
      <c r="B28" s="13" t="n">
        <v>12.604</v>
      </c>
      <c r="C28" s="14" t="n">
        <v>79.90000000000001</v>
      </c>
      <c r="D28" s="15">
        <f>B28*C28</f>
        <v/>
      </c>
    </row>
    <row r="29">
      <c r="A29" s="12" t="inlineStr">
        <is>
          <t>18mm Berneck.Unicolors Metallic Suede TX</t>
        </is>
      </c>
      <c r="B29" s="13" t="n">
        <v>21.68</v>
      </c>
      <c r="C29" s="14" t="n">
        <v>35.9</v>
      </c>
      <c r="D29" s="15">
        <f>B29*C29</f>
        <v/>
      </c>
    </row>
    <row r="31">
      <c r="A31" s="10" t="inlineStr">
        <is>
          <t>Ferragens / Componentes</t>
        </is>
      </c>
    </row>
    <row r="32">
      <c r="A32" s="11" t="inlineStr">
        <is>
          <t>Descricao</t>
        </is>
      </c>
      <c r="B32" s="11" t="inlineStr">
        <is>
          <t>Referencia</t>
        </is>
      </c>
      <c r="C32" s="11" t="inlineStr">
        <is>
          <t>Preco Unitario (R$)</t>
        </is>
      </c>
      <c r="D32" s="11" t="inlineStr">
        <is>
          <t>Quantidade</t>
        </is>
      </c>
      <c r="E32" s="11" t="inlineStr">
        <is>
          <t>Custo (R$)</t>
        </is>
      </c>
    </row>
    <row r="33">
      <c r="A33" s="12" t="inlineStr">
        <is>
          <t>Suporte</t>
        </is>
      </c>
      <c r="B33" s="12" t="inlineStr">
        <is>
          <t>2.1029.000</t>
        </is>
      </c>
      <c r="C33" s="14" t="n">
        <v>9.9</v>
      </c>
      <c r="D33" s="12" t="n">
        <v>2</v>
      </c>
      <c r="E33" s="15">
        <f>C33*D33</f>
        <v/>
      </c>
    </row>
    <row r="34">
      <c r="A34" s="12" t="inlineStr">
        <is>
          <t>Suporte</t>
        </is>
      </c>
      <c r="B34" s="12" t="inlineStr">
        <is>
          <t>2.1029.000</t>
        </is>
      </c>
      <c r="C34" s="14" t="n">
        <v>9.9</v>
      </c>
      <c r="D34" s="12" t="n">
        <v>2</v>
      </c>
      <c r="E34" s="15">
        <f>C34*D34</f>
        <v/>
      </c>
    </row>
    <row r="35">
      <c r="A35" s="12" t="inlineStr">
        <is>
          <t>Suporte</t>
        </is>
      </c>
      <c r="B35" s="12" t="inlineStr">
        <is>
          <t>2.1029.000</t>
        </is>
      </c>
      <c r="C35" s="14" t="n">
        <v>9.9</v>
      </c>
      <c r="D35" s="12" t="n">
        <v>2</v>
      </c>
      <c r="E35" s="15">
        <f>C35*D35</f>
        <v/>
      </c>
    </row>
    <row r="36">
      <c r="A36" s="12" t="inlineStr">
        <is>
          <t>Suporte</t>
        </is>
      </c>
      <c r="B36" s="12" t="inlineStr">
        <is>
          <t>2.1029.000</t>
        </is>
      </c>
      <c r="C36" s="14" t="n">
        <v>9.9</v>
      </c>
      <c r="D36" s="12" t="n">
        <v>2</v>
      </c>
      <c r="E36" s="15">
        <f>C36*D36</f>
        <v/>
      </c>
    </row>
    <row r="37">
      <c r="A37" s="12" t="inlineStr">
        <is>
          <t>Corrediça Telescópica 450</t>
        </is>
      </c>
      <c r="B37" s="12" t="inlineStr">
        <is>
          <t>1.1089.450</t>
        </is>
      </c>
      <c r="C37" s="14" t="n">
        <v>70</v>
      </c>
      <c r="D37" s="12" t="n">
        <v>4</v>
      </c>
      <c r="E37" s="15">
        <f>C37*D37</f>
        <v/>
      </c>
    </row>
    <row r="38">
      <c r="A38" s="12" t="inlineStr">
        <is>
          <t>Corrediça Telescópica 500</t>
        </is>
      </c>
      <c r="B38" s="12" t="inlineStr">
        <is>
          <t>1.1089.500</t>
        </is>
      </c>
      <c r="C38" s="14" t="n">
        <v>76.5</v>
      </c>
      <c r="D38" s="12" t="n">
        <v>6</v>
      </c>
      <c r="E38" s="15">
        <f>C38*D38</f>
        <v/>
      </c>
    </row>
    <row r="39">
      <c r="A39" s="12" t="inlineStr">
        <is>
          <t>Dobradiça Aço s/ Amort. Reta / Baixa</t>
        </is>
      </c>
      <c r="B39" s="12" t="inlineStr">
        <is>
          <t>1.1086.000</t>
        </is>
      </c>
      <c r="C39" s="14" t="n">
        <v>3.5</v>
      </c>
      <c r="D39" s="12" t="n">
        <v>20</v>
      </c>
      <c r="E39" s="15">
        <f>C39*D39</f>
        <v/>
      </c>
    </row>
    <row r="40">
      <c r="A40" s="12" t="inlineStr">
        <is>
          <t>Gaveta Interna c/ Contra Frente</t>
        </is>
      </c>
      <c r="B40" s="12" t="inlineStr">
        <is>
          <t>2.0095C.734.Branco</t>
        </is>
      </c>
      <c r="C40" s="14" t="n">
        <v>0</v>
      </c>
      <c r="D40" s="12" t="n">
        <v>1</v>
      </c>
      <c r="E40" s="15">
        <f>C40*D40</f>
        <v/>
      </c>
    </row>
    <row r="41">
      <c r="A41" s="12" t="inlineStr">
        <is>
          <t>Gaveta Interna c/ Contra Frente</t>
        </is>
      </c>
      <c r="B41" s="12" t="inlineStr">
        <is>
          <t>2.0095C.734.Branco</t>
        </is>
      </c>
      <c r="C41" s="14" t="n">
        <v>0</v>
      </c>
      <c r="D41" s="12" t="n">
        <v>1</v>
      </c>
      <c r="E41" s="15">
        <f>C41*D41</f>
        <v/>
      </c>
    </row>
    <row r="42">
      <c r="A42" s="12" t="inlineStr">
        <is>
          <t>Gaveta Interna c/ Contra Frente</t>
        </is>
      </c>
      <c r="B42" s="12" t="inlineStr">
        <is>
          <t>2.0095C.734.Branco</t>
        </is>
      </c>
      <c r="C42" s="14" t="n">
        <v>0</v>
      </c>
      <c r="D42" s="12" t="n">
        <v>1</v>
      </c>
      <c r="E42" s="15">
        <f>C42*D42</f>
        <v/>
      </c>
    </row>
    <row r="43">
      <c r="A43" s="12" t="inlineStr">
        <is>
          <t>Sapateira com contra-frente</t>
        </is>
      </c>
      <c r="B43" s="12" t="inlineStr">
        <is>
          <t>2.0295.720.Branco</t>
        </is>
      </c>
      <c r="C43" s="14" t="n">
        <v>0</v>
      </c>
      <c r="D43" s="12" t="n">
        <v>1</v>
      </c>
      <c r="E43" s="15">
        <f>C43*D43</f>
        <v/>
      </c>
    </row>
    <row r="44">
      <c r="A44" s="12" t="inlineStr">
        <is>
          <t>Sapateira com contra-frente</t>
        </is>
      </c>
      <c r="B44" s="12" t="inlineStr">
        <is>
          <t>2.0295.720.Branco</t>
        </is>
      </c>
      <c r="C44" s="14" t="n">
        <v>0</v>
      </c>
      <c r="D44" s="12" t="n">
        <v>1</v>
      </c>
      <c r="E44" s="15">
        <f>C44*D44</f>
        <v/>
      </c>
    </row>
    <row r="45">
      <c r="A45" s="12" t="inlineStr">
        <is>
          <t>Gaveta Interna c/ Contra Frente</t>
        </is>
      </c>
      <c r="B45" s="12" t="inlineStr">
        <is>
          <t>2.0095C.734.Branco</t>
        </is>
      </c>
      <c r="C45" s="14" t="n">
        <v>0</v>
      </c>
      <c r="D45" s="12" t="n">
        <v>1</v>
      </c>
      <c r="E45" s="15">
        <f>C45*D45</f>
        <v/>
      </c>
    </row>
    <row r="46">
      <c r="A46" s="12" t="inlineStr">
        <is>
          <t>Gaveta Interna c/ Contra Frente</t>
        </is>
      </c>
      <c r="B46" s="12" t="inlineStr">
        <is>
          <t>2.0095C.734.Branco</t>
        </is>
      </c>
      <c r="C46" s="14" t="n">
        <v>0</v>
      </c>
      <c r="D46" s="12" t="n">
        <v>1</v>
      </c>
      <c r="E46" s="15">
        <f>C46*D46</f>
        <v/>
      </c>
    </row>
    <row r="47">
      <c r="A47" s="12" t="inlineStr">
        <is>
          <t>Gaveta Interna c/ Contra Frente</t>
        </is>
      </c>
      <c r="B47" s="12" t="inlineStr">
        <is>
          <t>2.0095C.734.Branco</t>
        </is>
      </c>
      <c r="C47" s="14" t="n">
        <v>0</v>
      </c>
      <c r="D47" s="12" t="n">
        <v>1</v>
      </c>
      <c r="E47" s="15">
        <f>C47*D47</f>
        <v/>
      </c>
    </row>
    <row r="48">
      <c r="A48" s="12" t="inlineStr">
        <is>
          <t>Sapateira com contra-frente</t>
        </is>
      </c>
      <c r="B48" s="12" t="inlineStr">
        <is>
          <t>2.0295.720.Branco</t>
        </is>
      </c>
      <c r="C48" s="14" t="n">
        <v>0</v>
      </c>
      <c r="D48" s="12" t="n">
        <v>1</v>
      </c>
      <c r="E48" s="15">
        <f>C48*D48</f>
        <v/>
      </c>
    </row>
    <row r="49">
      <c r="A49" s="12" t="inlineStr">
        <is>
          <t>Sapateira com contra-frente</t>
        </is>
      </c>
      <c r="B49" s="12" t="inlineStr">
        <is>
          <t>2.0295.720.Branco</t>
        </is>
      </c>
      <c r="C49" s="14" t="n">
        <v>0</v>
      </c>
      <c r="D49" s="12" t="n">
        <v>1</v>
      </c>
      <c r="E49" s="15">
        <f>C49*D49</f>
        <v/>
      </c>
    </row>
    <row r="50">
      <c r="A50" s="12" t="inlineStr">
        <is>
          <t>Fechamento p/ Armário</t>
        </is>
      </c>
      <c r="B50" s="12" t="inlineStr">
        <is>
          <t>2.0135.30.Duratex.Essencial.Rosa Infinito</t>
        </is>
      </c>
      <c r="C50" s="14" t="n">
        <v>0</v>
      </c>
      <c r="D50" s="12" t="n">
        <v>1</v>
      </c>
      <c r="E50" s="15">
        <f>C50*D50</f>
        <v/>
      </c>
    </row>
    <row r="51">
      <c r="A51" s="12" t="inlineStr">
        <is>
          <t>Processo de Fabricação</t>
        </is>
      </c>
      <c r="B51" s="12" t="inlineStr">
        <is>
          <t>Porta Provençal Configurável</t>
        </is>
      </c>
      <c r="C51" s="14" t="n">
        <v>365.51</v>
      </c>
      <c r="D51" s="12" t="n">
        <v>4</v>
      </c>
      <c r="E51" s="15">
        <f>C51*D51</f>
        <v/>
      </c>
    </row>
    <row r="53">
      <c r="A53" s="16" t="inlineStr">
        <is>
          <t>Custo Material Total</t>
        </is>
      </c>
      <c r="B53" s="17">
        <f>SUM(F19:F22)+SUM(D26:D29)+SUM(E33:E51)</f>
        <v/>
      </c>
    </row>
    <row r="54">
      <c r="A54" s="16" t="inlineStr">
        <is>
          <t>Preco Venda Material (x Markup)</t>
        </is>
      </c>
      <c r="B54" s="17">
        <f>B53*$B$11</f>
        <v/>
      </c>
    </row>
    <row r="55">
      <c r="A55" s="16" t="inlineStr">
        <is>
          <t>Mao de Obra (Custo Hora x Horas)</t>
        </is>
      </c>
      <c r="B55" s="17">
        <f>$B$14*$B$15</f>
        <v/>
      </c>
    </row>
    <row r="56">
      <c r="A56" s="18" t="inlineStr">
        <is>
          <t>TOTAL GERAL</t>
        </is>
      </c>
      <c r="B56" s="19">
        <f>B54+B55</f>
        <v/>
      </c>
    </row>
    <row r="58">
      <c r="A58" s="20" t="inlineStr">
        <is>
          <t>Legenda: celulas em AZUL sao editaveis (precos, %, horas). O resto recalcula sozinho.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2026-08-28T15:34:10Z</dcterms:created>
  <dcterms:modified xsi:type="dcterms:W3CDTF">2026-08-28T15:34:10Z</dcterms:modified>
</cp:coreProperties>
</file>